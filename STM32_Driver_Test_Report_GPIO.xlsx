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euk\Downloads\"/>
    </mc:Choice>
  </mc:AlternateContent>
  <bookViews>
    <workbookView xWindow="0" yWindow="0" windowWidth="28800" windowHeight="14130" tabRatio="500"/>
  </bookViews>
  <sheets>
    <sheet name="Summary" sheetId="1" r:id="rId1"/>
    <sheet name="Test Cases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" l="1"/>
  <c r="C16" i="1"/>
  <c r="C15" i="1"/>
  <c r="C14" i="1"/>
  <c r="C13" i="1"/>
  <c r="C18" i="1" l="1"/>
</calcChain>
</file>

<file path=xl/sharedStrings.xml><?xml version="1.0" encoding="utf-8"?>
<sst xmlns="http://schemas.openxmlformats.org/spreadsheetml/2006/main" count="69" uniqueCount="59">
  <si>
    <t>STM32 DRIVER API - TEST REPORT</t>
  </si>
  <si>
    <t>Project / Board</t>
  </si>
  <si>
    <t>Driver / Module under test</t>
  </si>
  <si>
    <t>e.g. UART Driver</t>
  </si>
  <si>
    <t>MCU</t>
  </si>
  <si>
    <t>HAL / SDK version</t>
  </si>
  <si>
    <t>e.g. STM32Cube FW_F4 V1.28.0</t>
  </si>
  <si>
    <t>Tester</t>
  </si>
  <si>
    <t>Test date</t>
  </si>
  <si>
    <t>Firmware / Git commit</t>
  </si>
  <si>
    <t>RESULT SUMMARY</t>
  </si>
  <si>
    <t>Total test cases</t>
  </si>
  <si>
    <t>Passed</t>
  </si>
  <si>
    <t>Failed</t>
  </si>
  <si>
    <t>Blocked</t>
  </si>
  <si>
    <t>Not run</t>
  </si>
  <si>
    <t>Pass rate</t>
  </si>
  <si>
    <t>Hướng dẫn:
- Điền thông tin project ở trên và chi tiết từng test case trong sheet 'Test Cases'.
- Cột 'Status' chọn theo dropdown: Pass / Fail / Blocked / Not Run.
- Các ô tô vàng ở sheet 'Test Cases' là dòng ví dụ mẫu, hãy xoá/thay bằng test case thật.
- Bảng tổng hợp phía trên tự cập nhật (dùng công thức COUNTIF) khi bạn điền cột Status.</t>
  </si>
  <si>
    <t>STM32 DRIVER API - TEST CASE LIST</t>
  </si>
  <si>
    <t>Legend: cột vàng = dòng ví dụ (mẫu). Xoá dòng này và điền test case thật của bạn bên dưới.</t>
  </si>
  <si>
    <t>Test Case ID</t>
  </si>
  <si>
    <t>Module / Driver</t>
  </si>
  <si>
    <t>API Function</t>
  </si>
  <si>
    <t>Description</t>
  </si>
  <si>
    <t>Precondition</t>
  </si>
  <si>
    <t>Test Steps</t>
  </si>
  <si>
    <t>Input</t>
  </si>
  <si>
    <t>Expected Result</t>
  </si>
  <si>
    <t>Actual Result</t>
  </si>
  <si>
    <t>Status</t>
  </si>
  <si>
    <t>Priority</t>
  </si>
  <si>
    <t>Date</t>
  </si>
  <si>
    <t>Notes</t>
  </si>
  <si>
    <t>TC-001</t>
  </si>
  <si>
    <t>e.g. STM32F103C8T6</t>
  </si>
  <si>
    <t>GPIO Driver</t>
  </si>
  <si>
    <t>https://github.com/vlsihieu/EMBED_C/tree/develop</t>
  </si>
  <si>
    <t>HieuVT44</t>
  </si>
  <si>
    <t>V0.0.1</t>
  </si>
  <si>
    <t>STM32F103C8T6</t>
  </si>
  <si>
    <t>e.g. STM32F1</t>
  </si>
  <si>
    <t>Driver for  STM32F10xxx</t>
  </si>
  <si>
    <t>TC-002</t>
  </si>
  <si>
    <t>TC-003</t>
  </si>
  <si>
    <t>TC-004</t>
  </si>
  <si>
    <t>GPIO_Init_t</t>
  </si>
  <si>
    <t>GPIO_DeInit_t</t>
  </si>
  <si>
    <t>GPIO_WritePin_t</t>
  </si>
  <si>
    <t>GPIO_Toggle_t</t>
  </si>
  <si>
    <t>TC-005</t>
  </si>
  <si>
    <t>TC-006</t>
  </si>
  <si>
    <t>TC-007</t>
  </si>
  <si>
    <t>TC-008</t>
  </si>
  <si>
    <t>TC-009</t>
  </si>
  <si>
    <t>GPIO_EXTI_IRQHandler_t</t>
  </si>
  <si>
    <t>GPIO_EXTI_Callback_t</t>
  </si>
  <si>
    <t>AFIO_RemapConfig_t</t>
  </si>
  <si>
    <t>GPIO_ReadPin_t</t>
  </si>
  <si>
    <t>GPIO_LockPin_t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</si>
</sst>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3" fillId="3" borderId="0" xfId="0" applyFont="1" applyFill="1"/>
    <xf numFmtId="0" fontId="3" fillId="3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164" fontId="2" fillId="3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/>
    <xf numFmtId="0" fontId="5" fillId="2" borderId="0" xfId="0" applyFont="1" applyFill="1" applyBorder="1"/>
    <xf numFmtId="0" fontId="4" fillId="0" borderId="0" xfId="0" applyFont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vlsihieu/EMBED_C/tree/devel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tabSelected="1" zoomScaleNormal="100" workbookViewId="0">
      <selection activeCell="I22" sqref="I22"/>
    </sheetView>
  </sheetViews>
  <sheetFormatPr defaultColWidth="8.7109375" defaultRowHeight="15" x14ac:dyDescent="0.25"/>
  <cols>
    <col min="1" max="1" width="2" customWidth="1"/>
    <col min="2" max="2" width="26" customWidth="1"/>
    <col min="3" max="3" width="18" customWidth="1"/>
    <col min="4" max="5" width="14" customWidth="1"/>
    <col min="6" max="6" width="24" customWidth="1"/>
  </cols>
  <sheetData>
    <row r="2" spans="2:7" ht="30" customHeight="1" x14ac:dyDescent="0.25">
      <c r="B2" s="13" t="s">
        <v>0</v>
      </c>
      <c r="C2" s="13"/>
      <c r="D2" s="13"/>
      <c r="E2" s="13"/>
      <c r="F2" s="13"/>
      <c r="G2" s="13"/>
    </row>
    <row r="4" spans="2:7" x14ac:dyDescent="0.25">
      <c r="B4" s="1" t="s">
        <v>1</v>
      </c>
      <c r="C4" s="10" t="s">
        <v>41</v>
      </c>
      <c r="D4" s="10"/>
      <c r="E4" s="10"/>
      <c r="F4" s="2" t="s">
        <v>40</v>
      </c>
    </row>
    <row r="5" spans="2:7" x14ac:dyDescent="0.25">
      <c r="B5" s="1" t="s">
        <v>2</v>
      </c>
      <c r="C5" s="10" t="s">
        <v>35</v>
      </c>
      <c r="D5" s="10"/>
      <c r="E5" s="10"/>
      <c r="F5" s="2" t="s">
        <v>3</v>
      </c>
    </row>
    <row r="6" spans="2:7" x14ac:dyDescent="0.25">
      <c r="B6" s="1" t="s">
        <v>4</v>
      </c>
      <c r="C6" s="10" t="s">
        <v>39</v>
      </c>
      <c r="D6" s="10"/>
      <c r="E6" s="10"/>
      <c r="F6" s="2" t="s">
        <v>34</v>
      </c>
    </row>
    <row r="7" spans="2:7" x14ac:dyDescent="0.25">
      <c r="B7" s="1" t="s">
        <v>5</v>
      </c>
      <c r="C7" s="10" t="s">
        <v>38</v>
      </c>
      <c r="D7" s="10"/>
      <c r="E7" s="10"/>
      <c r="F7" s="2" t="s">
        <v>6</v>
      </c>
    </row>
    <row r="8" spans="2:7" x14ac:dyDescent="0.25">
      <c r="B8" s="1" t="s">
        <v>7</v>
      </c>
      <c r="C8" s="10" t="s">
        <v>37</v>
      </c>
      <c r="D8" s="10"/>
      <c r="E8" s="10"/>
    </row>
    <row r="9" spans="2:7" x14ac:dyDescent="0.25">
      <c r="B9" s="1" t="s">
        <v>8</v>
      </c>
      <c r="C9" s="10"/>
      <c r="D9" s="10"/>
      <c r="E9" s="10"/>
    </row>
    <row r="10" spans="2:7" x14ac:dyDescent="0.25">
      <c r="B10" s="1" t="s">
        <v>9</v>
      </c>
      <c r="C10" s="15" t="s">
        <v>36</v>
      </c>
      <c r="D10" s="10"/>
      <c r="E10" s="10"/>
    </row>
    <row r="12" spans="2:7" x14ac:dyDescent="0.25">
      <c r="B12" s="11" t="s">
        <v>10</v>
      </c>
      <c r="C12" s="11"/>
      <c r="D12" s="11"/>
      <c r="E12" s="11"/>
      <c r="F12" s="11"/>
    </row>
    <row r="13" spans="2:7" x14ac:dyDescent="0.25">
      <c r="B13" s="3" t="s">
        <v>11</v>
      </c>
      <c r="C13" s="4">
        <f>COUNTA('Test Cases'!A5:A999)-COUNTBLANK('Test Cases'!A5:A999)</f>
        <v>-977</v>
      </c>
    </row>
    <row r="14" spans="2:7" x14ac:dyDescent="0.25">
      <c r="B14" s="3" t="s">
        <v>12</v>
      </c>
      <c r="C14" s="4">
        <f>COUNTIF('Test Cases'!J5:J999,"Pass")</f>
        <v>0</v>
      </c>
    </row>
    <row r="15" spans="2:7" x14ac:dyDescent="0.25">
      <c r="B15" s="3" t="s">
        <v>13</v>
      </c>
      <c r="C15" s="4">
        <f>COUNTIF('Test Cases'!J5:J999,"Fail")</f>
        <v>0</v>
      </c>
    </row>
    <row r="16" spans="2:7" x14ac:dyDescent="0.25">
      <c r="B16" s="3" t="s">
        <v>14</v>
      </c>
      <c r="C16" s="4">
        <f>COUNTIF('Test Cases'!J5:J999,"Blocked")</f>
        <v>0</v>
      </c>
    </row>
    <row r="17" spans="2:7" x14ac:dyDescent="0.25">
      <c r="B17" s="3" t="s">
        <v>15</v>
      </c>
      <c r="C17" s="4">
        <f>COUNTIF('Test Cases'!J5:J999,"Not Run")</f>
        <v>0</v>
      </c>
    </row>
    <row r="18" spans="2:7" x14ac:dyDescent="0.25">
      <c r="B18" s="5" t="s">
        <v>16</v>
      </c>
      <c r="C18" s="6">
        <f>IFERROR(C14/C13,0)</f>
        <v>0</v>
      </c>
    </row>
    <row r="20" spans="2:7" ht="15" customHeight="1" x14ac:dyDescent="0.25">
      <c r="B20" s="12" t="s">
        <v>17</v>
      </c>
      <c r="C20" s="12"/>
      <c r="D20" s="12"/>
      <c r="E20" s="12"/>
      <c r="F20" s="12"/>
      <c r="G20" s="12"/>
    </row>
    <row r="21" spans="2:7" x14ac:dyDescent="0.25">
      <c r="B21" s="12"/>
      <c r="C21" s="12"/>
      <c r="D21" s="12"/>
      <c r="E21" s="12"/>
      <c r="F21" s="12"/>
      <c r="G21" s="12"/>
    </row>
    <row r="22" spans="2:7" x14ac:dyDescent="0.25">
      <c r="B22" s="12"/>
      <c r="C22" s="12"/>
      <c r="D22" s="12"/>
      <c r="E22" s="12"/>
      <c r="F22" s="12"/>
      <c r="G22" s="12"/>
    </row>
    <row r="23" spans="2:7" x14ac:dyDescent="0.25">
      <c r="B23" s="12"/>
      <c r="C23" s="12"/>
      <c r="D23" s="12"/>
      <c r="E23" s="12"/>
      <c r="F23" s="12"/>
      <c r="G23" s="12"/>
    </row>
  </sheetData>
  <mergeCells count="10">
    <mergeCell ref="B2:G2"/>
    <mergeCell ref="C4:E4"/>
    <mergeCell ref="C5:E5"/>
    <mergeCell ref="C6:E6"/>
    <mergeCell ref="C7:E7"/>
    <mergeCell ref="C8:E8"/>
    <mergeCell ref="C9:E9"/>
    <mergeCell ref="C10:E10"/>
    <mergeCell ref="B12:F12"/>
    <mergeCell ref="B20:G23"/>
  </mergeCells>
  <hyperlinks>
    <hyperlink ref="C10" r:id="rId1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showGridLines="0" zoomScaleNormal="100" workbookViewId="0">
      <pane ySplit="4" topLeftCell="A5" activePane="bottomLeft" state="frozen"/>
      <selection pane="bottomLeft" activeCell="G18" sqref="G18"/>
    </sheetView>
  </sheetViews>
  <sheetFormatPr defaultColWidth="8.7109375" defaultRowHeight="15" x14ac:dyDescent="0.25"/>
  <cols>
    <col min="1" max="1" width="12" customWidth="1"/>
    <col min="2" max="2" width="16" customWidth="1"/>
    <col min="3" max="4" width="26" customWidth="1"/>
    <col min="5" max="5" width="20" customWidth="1"/>
    <col min="6" max="6" width="28" customWidth="1"/>
    <col min="7" max="7" width="16" customWidth="1"/>
    <col min="8" max="9" width="26" customWidth="1"/>
    <col min="10" max="11" width="10" customWidth="1"/>
    <col min="12" max="13" width="12" customWidth="1"/>
    <col min="14" max="14" width="20" customWidth="1"/>
  </cols>
  <sheetData>
    <row r="1" spans="1:14" ht="25.5" customHeight="1" x14ac:dyDescent="0.25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ht="15" customHeight="1" x14ac:dyDescent="0.25">
      <c r="A2" s="14" t="s">
        <v>19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4" ht="25.5" x14ac:dyDescent="0.25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7</v>
      </c>
      <c r="M4" s="7" t="s">
        <v>31</v>
      </c>
      <c r="N4" s="7" t="s">
        <v>32</v>
      </c>
    </row>
    <row r="5" spans="1:14" ht="39.75" customHeight="1" x14ac:dyDescent="0.25">
      <c r="A5" s="8" t="s">
        <v>33</v>
      </c>
      <c r="B5" s="8" t="s">
        <v>35</v>
      </c>
      <c r="C5" s="8" t="s">
        <v>45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41.25" customHeight="1" x14ac:dyDescent="0.25">
      <c r="A6" s="8" t="s">
        <v>42</v>
      </c>
      <c r="B6" s="8" t="s">
        <v>35</v>
      </c>
      <c r="C6" s="8" t="s">
        <v>46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39" customHeight="1" x14ac:dyDescent="0.25">
      <c r="A7" s="8" t="s">
        <v>43</v>
      </c>
      <c r="B7" s="8" t="s">
        <v>35</v>
      </c>
      <c r="C7" s="8" t="s">
        <v>47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38.25" customHeight="1" x14ac:dyDescent="0.25">
      <c r="A8" s="8" t="s">
        <v>44</v>
      </c>
      <c r="B8" s="8" t="s">
        <v>35</v>
      </c>
      <c r="C8" s="8" t="s">
        <v>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39.75" customHeight="1" x14ac:dyDescent="0.25">
      <c r="A9" s="8" t="s">
        <v>49</v>
      </c>
      <c r="B9" s="8" t="s">
        <v>35</v>
      </c>
      <c r="C9" s="8" t="s">
        <v>54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39" customHeight="1" x14ac:dyDescent="0.25">
      <c r="A10" s="8" t="s">
        <v>50</v>
      </c>
      <c r="B10" s="8" t="s">
        <v>35</v>
      </c>
      <c r="C10" s="8" t="s">
        <v>55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40.5" customHeight="1" x14ac:dyDescent="0.25">
      <c r="A11" s="8" t="s">
        <v>51</v>
      </c>
      <c r="B11" s="8" t="s">
        <v>35</v>
      </c>
      <c r="C11" s="8" t="s">
        <v>56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ht="40.5" customHeight="1" x14ac:dyDescent="0.25">
      <c r="A12" s="8" t="s">
        <v>52</v>
      </c>
      <c r="B12" s="8" t="s">
        <v>35</v>
      </c>
      <c r="C12" s="8" t="s">
        <v>57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ht="35.25" customHeight="1" x14ac:dyDescent="0.25">
      <c r="A13" s="8" t="s">
        <v>53</v>
      </c>
      <c r="B13" s="8" t="s">
        <v>35</v>
      </c>
      <c r="C13" s="8" t="s">
        <v>58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19.5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9.5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19.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19.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5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9.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ht="19.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19.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ht="19.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ht="19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ht="19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19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ht="19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19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ht="19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ht="19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ht="19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9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19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19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</sheetData>
  <mergeCells count="2">
    <mergeCell ref="A1:L1"/>
    <mergeCell ref="A2:L2"/>
  </mergeCells>
  <dataValidations count="2">
    <dataValidation type="list" allowBlank="1" sqref="J5:J34">
      <formula1>"Pass,Fail,Blocked,Not Run"</formula1>
      <formula2>0</formula2>
    </dataValidation>
    <dataValidation type="list" allowBlank="1" sqref="K5:K34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vu hiếu</cp:lastModifiedBy>
  <cp:revision>0</cp:revision>
  <dcterms:created xsi:type="dcterms:W3CDTF">2026-07-18T05:41:17Z</dcterms:created>
  <dcterms:modified xsi:type="dcterms:W3CDTF">2026-08-16T00:41:46Z</dcterms:modified>
  <dc:language>en-US</dc:language>
</cp:coreProperties>
</file>